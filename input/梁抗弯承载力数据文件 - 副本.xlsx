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<sst xmlns="http://schemas.openxmlformats.org/spreadsheetml/2006/main" count="52" uniqueCount="34">
  <si>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截面编号</t>
  </si>
  <si>
    <t>结构重要性系数γ0</t>
  </si>
  <si>
    <t>弯矩设计值M</t>
  </si>
  <si>
    <t>是否地震作用组合</t>
  </si>
  <si>
    <t>截面类型</t>
  </si>
  <si>
    <t>b</t>
  </si>
  <si>
    <t>h</t>
  </si>
  <si>
    <t>bf</t>
  </si>
  <si>
    <t>hf</t>
  </si>
  <si>
    <t>混凝土强度等级C</t>
  </si>
  <si>
    <t>受拉钢筋强度等级</t>
  </si>
  <si>
    <t>受压钢筋强度等级</t>
  </si>
  <si>
    <t>受拉钢筋面积As</t>
  </si>
  <si>
    <t>受拉钢筋as</t>
  </si>
  <si>
    <t>受压钢筋面积As</t>
  </si>
  <si>
    <t>受压钢筋as</t>
  </si>
  <si>
    <t>受压区高度x</t>
  </si>
  <si>
    <t>抗弯承载力Mu</t>
  </si>
  <si>
    <t>抗弯承载力MuE</t>
  </si>
  <si>
    <t>抗力效应比R/S</t>
  </si>
  <si>
    <t>L-1</t>
  </si>
  <si>
    <t>矩形</t>
  </si>
  <si>
    <t>HPB300</t>
  </si>
  <si>
    <t>L-2</t>
  </si>
  <si>
    <t>HRB335</t>
  </si>
  <si>
    <t>L-3</t>
  </si>
  <si>
    <t>HRB400</t>
  </si>
  <si>
    <t>L-4</t>
  </si>
  <si>
    <t>HRB500</t>
  </si>
  <si>
    <t>L-5</t>
  </si>
  <si>
    <t>T形</t>
  </si>
  <si>
    <t>L-6</t>
  </si>
  <si>
    <t>L-7</t>
  </si>
  <si>
    <t>L-8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</si>
</sst>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0.0_);[Red]\(0.0\)"/>
    <numFmt numFmtId="179" formatCode="0.00_);[Red]\(0.00\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workbookViewId="0">
      <selection activeCell="P12" sqref="P12"/>
    </sheetView>
  </sheetViews>
  <sheetFormatPr defaultColWidth="8.8421052631579" defaultRowHeight="13.5" customHeight="1"/>
  <cols>
    <col min="1" max="1" width="12.5" customWidth="1"/>
    <col min="2" max="2" width="10.7368421052632" customWidth="1"/>
    <col min="8" max="8" width="9.37719298245614"/>
    <col min="13" max="13" width="9.37719298245614"/>
    <col min="15" max="15" width="9.37719298245614"/>
  </cols>
  <sheetData>
    <row r="1" s="1" customFormat="1" ht="51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="2" customFormat="1" customHeight="1" spans="1:20">
      <c r="A2" s="4" t="s">
        <v>20</v>
      </c>
      <c r="B2" s="5">
        <v>1</v>
      </c>
      <c r="C2" s="5">
        <v>250</v>
      </c>
      <c r="D2" s="2">
        <v>0</v>
      </c>
      <c r="E2" s="2" t="s">
        <v>21</v>
      </c>
      <c r="F2" s="6">
        <v>250</v>
      </c>
      <c r="G2" s="6">
        <v>500</v>
      </c>
      <c r="H2" s="6"/>
      <c r="I2" s="6"/>
      <c r="J2" s="7">
        <v>30</v>
      </c>
      <c r="K2" s="2" t="s">
        <v>22</v>
      </c>
      <c r="L2" s="2" t="s">
        <v>22</v>
      </c>
      <c r="M2" s="7">
        <v>1500</v>
      </c>
      <c r="N2" s="7">
        <v>42.5</v>
      </c>
      <c r="O2" s="7">
        <v>0</v>
      </c>
      <c r="P2" s="7">
        <v>67.5</v>
      </c>
      <c r="Q2" s="7"/>
      <c r="R2" s="7"/>
      <c r="S2" s="7"/>
      <c r="T2" s="8"/>
    </row>
    <row r="3" s="2" customFormat="1" customHeight="1" spans="1:20">
      <c r="A3" s="4" t="s">
        <v>23</v>
      </c>
      <c r="B3" s="5">
        <v>1</v>
      </c>
      <c r="C3" s="5">
        <v>300</v>
      </c>
      <c r="D3" s="2">
        <v>0</v>
      </c>
      <c r="E3" s="2" t="s">
        <v>21</v>
      </c>
      <c r="F3" s="6">
        <v>300</v>
      </c>
      <c r="G3" s="6">
        <v>550</v>
      </c>
      <c r="H3" s="6"/>
      <c r="I3" s="6"/>
      <c r="J3" s="7">
        <v>35</v>
      </c>
      <c r="K3" s="2" t="s">
        <v>24</v>
      </c>
      <c r="L3" s="2" t="s">
        <v>24</v>
      </c>
      <c r="M3" s="7">
        <v>2500</v>
      </c>
      <c r="N3" s="7">
        <v>67.5</v>
      </c>
      <c r="O3" s="7">
        <v>500</v>
      </c>
      <c r="P3" s="7">
        <v>92.5</v>
      </c>
      <c r="Q3" s="7"/>
      <c r="R3" s="7"/>
      <c r="S3" s="7"/>
      <c r="T3" s="8"/>
    </row>
    <row r="4" s="2" customFormat="1" customHeight="1" spans="1:20">
      <c r="A4" s="4" t="s">
        <v>25</v>
      </c>
      <c r="B4" s="5">
        <v>1</v>
      </c>
      <c r="C4" s="5">
        <v>350</v>
      </c>
      <c r="D4" s="2">
        <v>1</v>
      </c>
      <c r="E4" s="2" t="s">
        <v>21</v>
      </c>
      <c r="F4" s="6">
        <v>350</v>
      </c>
      <c r="G4" s="6">
        <v>600</v>
      </c>
      <c r="H4" s="6"/>
      <c r="I4" s="6"/>
      <c r="J4" s="7">
        <v>40</v>
      </c>
      <c r="K4" s="2" t="s">
        <v>26</v>
      </c>
      <c r="L4" s="2" t="s">
        <v>26</v>
      </c>
      <c r="M4" s="7">
        <v>5000</v>
      </c>
      <c r="N4" s="7">
        <v>92.5</v>
      </c>
      <c r="O4" s="7">
        <v>1000</v>
      </c>
      <c r="P4" s="7">
        <v>42.5</v>
      </c>
      <c r="Q4" s="7"/>
      <c r="R4" s="7"/>
      <c r="S4" s="7"/>
      <c r="T4" s="8"/>
    </row>
    <row r="5" s="2" customFormat="1" customHeight="1" spans="1:20">
      <c r="A5" s="4" t="s">
        <v>27</v>
      </c>
      <c r="B5" s="5">
        <v>1</v>
      </c>
      <c r="C5" s="5">
        <v>400</v>
      </c>
      <c r="D5" s="2">
        <v>1</v>
      </c>
      <c r="E5" s="2" t="s">
        <v>21</v>
      </c>
      <c r="F5" s="6">
        <v>400</v>
      </c>
      <c r="G5" s="6">
        <v>650</v>
      </c>
      <c r="H5" s="6"/>
      <c r="I5" s="6"/>
      <c r="J5" s="7">
        <v>45</v>
      </c>
      <c r="K5" s="2" t="s">
        <v>28</v>
      </c>
      <c r="L5" s="2" t="s">
        <v>28</v>
      </c>
      <c r="M5" s="7">
        <v>9000</v>
      </c>
      <c r="N5" s="7">
        <v>42.5</v>
      </c>
      <c r="O5" s="7">
        <v>1500</v>
      </c>
      <c r="P5" s="7">
        <v>67.5</v>
      </c>
      <c r="Q5" s="7"/>
      <c r="R5" s="7"/>
      <c r="S5" s="7"/>
      <c r="T5" s="8"/>
    </row>
    <row r="6" s="2" customFormat="1" customHeight="1" spans="1:20">
      <c r="A6" s="4" t="s">
        <v>29</v>
      </c>
      <c r="B6" s="5">
        <v>1</v>
      </c>
      <c r="C6" s="5">
        <v>450</v>
      </c>
      <c r="D6" s="2">
        <v>0</v>
      </c>
      <c r="E6" s="2" t="s">
        <v>30</v>
      </c>
      <c r="F6" s="6">
        <v>450</v>
      </c>
      <c r="G6" s="6">
        <v>700</v>
      </c>
      <c r="H6" s="6">
        <v>1200</v>
      </c>
      <c r="I6" s="6">
        <v>100</v>
      </c>
      <c r="J6" s="7">
        <v>50</v>
      </c>
      <c r="K6" s="2" t="s">
        <v>22</v>
      </c>
      <c r="L6" s="2" t="s">
        <v>22</v>
      </c>
      <c r="M6" s="7">
        <v>1500</v>
      </c>
      <c r="N6" s="7">
        <v>67.5</v>
      </c>
      <c r="O6" s="7">
        <v>2000</v>
      </c>
      <c r="P6" s="7">
        <v>67.5</v>
      </c>
      <c r="Q6" s="7"/>
      <c r="R6" s="7"/>
      <c r="S6" s="7"/>
      <c r="T6" s="8"/>
    </row>
    <row r="7" s="2" customFormat="1" customHeight="1" spans="1:20">
      <c r="A7" s="4" t="s">
        <v>31</v>
      </c>
      <c r="B7" s="5">
        <v>1</v>
      </c>
      <c r="C7" s="5">
        <v>500</v>
      </c>
      <c r="D7" s="2">
        <v>0</v>
      </c>
      <c r="E7" s="2" t="s">
        <v>30</v>
      </c>
      <c r="F7" s="6">
        <v>500</v>
      </c>
      <c r="G7" s="6">
        <v>750</v>
      </c>
      <c r="H7" s="6">
        <v>1300</v>
      </c>
      <c r="I7" s="6">
        <v>110</v>
      </c>
      <c r="J7" s="7">
        <v>55</v>
      </c>
      <c r="K7" s="2" t="s">
        <v>24</v>
      </c>
      <c r="L7" s="2" t="s">
        <v>24</v>
      </c>
      <c r="M7" s="7">
        <v>2500</v>
      </c>
      <c r="N7" s="7">
        <v>92.5</v>
      </c>
      <c r="O7" s="7">
        <v>2500</v>
      </c>
      <c r="P7" s="7">
        <v>92.5</v>
      </c>
      <c r="Q7" s="7"/>
      <c r="R7" s="7"/>
      <c r="S7" s="7"/>
      <c r="T7" s="8"/>
    </row>
    <row r="8" s="2" customFormat="1" customHeight="1" spans="1:20">
      <c r="A8" s="4" t="s">
        <v>32</v>
      </c>
      <c r="B8" s="5">
        <v>1</v>
      </c>
      <c r="C8" s="5">
        <v>550</v>
      </c>
      <c r="D8" s="2">
        <v>1</v>
      </c>
      <c r="E8" s="2" t="s">
        <v>30</v>
      </c>
      <c r="F8" s="6">
        <v>550</v>
      </c>
      <c r="G8" s="6">
        <v>800</v>
      </c>
      <c r="H8" s="6">
        <v>1400</v>
      </c>
      <c r="I8" s="6">
        <v>120</v>
      </c>
      <c r="J8" s="7">
        <v>60</v>
      </c>
      <c r="K8" s="2" t="s">
        <v>26</v>
      </c>
      <c r="L8" s="2" t="s">
        <v>26</v>
      </c>
      <c r="M8" s="7">
        <v>5000</v>
      </c>
      <c r="N8" s="7">
        <v>42.5</v>
      </c>
      <c r="O8" s="7">
        <v>3000</v>
      </c>
      <c r="P8" s="7">
        <v>42.5</v>
      </c>
      <c r="Q8" s="7"/>
      <c r="R8" s="7"/>
      <c r="S8" s="7"/>
      <c r="T8" s="8"/>
    </row>
    <row r="9" s="2" customFormat="1" customHeight="1" spans="1:20">
      <c r="A9" s="4" t="s">
        <v>33</v>
      </c>
      <c r="B9" s="5">
        <v>1</v>
      </c>
      <c r="C9" s="5">
        <v>600</v>
      </c>
      <c r="D9" s="2">
        <v>1</v>
      </c>
      <c r="E9" s="2" t="s">
        <v>30</v>
      </c>
      <c r="F9" s="6">
        <v>600</v>
      </c>
      <c r="G9" s="6">
        <v>850</v>
      </c>
      <c r="H9" s="6">
        <v>1500</v>
      </c>
      <c r="I9" s="6">
        <v>130</v>
      </c>
      <c r="J9" s="7">
        <v>65</v>
      </c>
      <c r="K9" s="2" t="s">
        <v>28</v>
      </c>
      <c r="L9" s="2" t="s">
        <v>28</v>
      </c>
      <c r="M9" s="7">
        <v>9000</v>
      </c>
      <c r="N9" s="7">
        <v>67.5</v>
      </c>
      <c r="O9" s="7">
        <v>3500</v>
      </c>
      <c r="P9" s="7">
        <v>67.5</v>
      </c>
      <c r="Q9" s="7"/>
      <c r="R9" s="7"/>
      <c r="S9" s="7"/>
      <c r="T9" s="8"/>
    </row>
    <row r="10" customHeight="1" spans="1:20">
      <c r="N10" s="7"/>
    </row>
  </sheetData>
  <dataValidations count="6">
    <dataValidation allowBlank="1" showInputMessage="1" showErrorMessage="1" sqref="B1"/>
    <dataValidation type="decimal" operator="greaterThanOrEqual" allowBlank="1" showInputMessage="1" showErrorMessage="1" sqref="M4:N4 C2:C9 F2:F9 G2:G9 J2:J9 M5:M7 M8:M9 N5:N7 N8:N10 O2:O9 P2:P3 P4:P5 P6:P7 P8:P9 H2:I3 H4:I5 H6:I9 M2:N3">
      <formula1>0</formula1>
    </dataValidation>
    <dataValidation type="list" allowBlank="1" showInputMessage="1" showErrorMessage="1" sqref="B2:B9">
      <formula1>"1.1,1.0,0.9"</formula1>
    </dataValidation>
    <dataValidation type="list" allowBlank="1" showInputMessage="1" showErrorMessage="1" sqref="D2:D9">
      <formula1>"1,0"</formula1>
    </dataValidation>
    <dataValidation type="list" allowBlank="1" showInputMessage="1" showErrorMessage="1" sqref="E2:E9">
      <formula1>"矩形,T形"</formula1>
    </dataValidation>
    <dataValidation type="list" allowBlank="1" showInputMessage="1" showErrorMessage="1" sqref="K2:K5 K6:K9 L2:L5 L6:L9">
      <formula1>"HPB300,HRB335,HRB400,HRB500"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波波</dc:creator>
  <cp:lastModifiedBy>高祎波</cp:lastModifiedBy>
  <dcterms:created xsi:type="dcterms:W3CDTF">2026-01-02T07:45:00Z</dcterms:created>
  <dcterms:modified xsi:type="dcterms:W3CDTF">2026-01-04T11:20:02Z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54D19935DE014EA3BB9A3C33340F2A3C_11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