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135" windowWidth="22185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formatCode="0.0_ " numFmtId="164"/>
    <numFmt formatCode="0_);[Red]\(0\)" numFmtId="165"/>
    <numFmt formatCode="0.0_);[Red]\(0.0\)" numFmtId="166"/>
    <numFmt formatCode="0.00_);[Red]\(0.00\)" numFmtId="167"/>
    <numFmt formatCode="0.0" numFmtId="168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5"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 wrapText="1"/>
    </xf>
    <xf applyAlignment="1" borderId="0" fillId="0" fontId="0" numFmtId="49" pivotButton="0" quotePrefix="0" xfId="0">
      <alignment horizontal="center" vertical="center"/>
    </xf>
    <xf applyAlignment="1" borderId="0" fillId="0" fontId="0" numFmtId="164" pivotButton="0" quotePrefix="0" xfId="0">
      <alignment horizontal="center" vertical="center"/>
    </xf>
    <xf applyAlignment="1" borderId="0" fillId="0" fontId="0" numFmtId="165" pivotButton="0" quotePrefix="0" xfId="0">
      <alignment horizontal="center" vertical="center"/>
    </xf>
    <xf applyAlignment="1" borderId="0" fillId="0" fontId="0" numFmtId="166" pivotButton="0" quotePrefix="0" xfId="0">
      <alignment horizontal="center" vertical="center"/>
    </xf>
    <xf applyAlignment="1" borderId="0" fillId="0" fontId="0" numFmtId="167" pivotButton="0" quotePrefix="0" xfId="0">
      <alignment horizontal="center" vertical="center"/>
    </xf>
    <xf borderId="0" fillId="0" fontId="0" numFmtId="0" pivotButton="0" quotePrefix="0" xfId="0"/>
    <xf applyAlignment="1" borderId="0" fillId="0" fontId="0" numFmtId="164" pivotButton="0" quotePrefix="0" xfId="0">
      <alignment horizontal="center" vertical="center"/>
    </xf>
    <xf applyAlignment="1" borderId="0" fillId="0" fontId="0" numFmtId="165" pivotButton="0" quotePrefix="0" xfId="0">
      <alignment horizontal="center" vertical="center"/>
    </xf>
    <xf applyAlignment="1" borderId="0" fillId="0" fontId="0" numFmtId="166" pivotButton="0" quotePrefix="0" xfId="0">
      <alignment horizontal="center" vertical="center"/>
    </xf>
    <xf applyAlignment="1" borderId="0" fillId="0" fontId="0" numFmtId="168" pivotButton="0" quotePrefix="0" xfId="0">
      <alignment horizontal="center" vertical="center"/>
    </xf>
    <xf applyAlignment="1" borderId="0" fillId="0" fontId="0" numFmtId="2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tabSelected="1" topLeftCell="B1" workbookViewId="0">
      <selection activeCell="G15" sqref="G15"/>
    </sheetView>
  </sheetViews>
  <sheetFormatPr baseColWidth="8" customHeight="1" defaultColWidth="8.84166666666667" defaultRowHeight="13.5"/>
  <cols>
    <col customWidth="1" max="1" min="1" style="9" width="12.5"/>
    <col customWidth="1" max="2" min="2" style="9" width="10.7333333333333"/>
    <col customWidth="1" max="8" min="8" style="9" width="9.375"/>
    <col customWidth="1" max="13" min="13" style="9" width="9.375"/>
    <col customWidth="1" max="15" min="15" style="9" width="9.375"/>
  </cols>
  <sheetData>
    <row customFormat="1" customHeight="1" ht="51" r="1" s="1">
      <c r="A1" s="3" t="inlineStr">
        <is>
          <t>截面编号</t>
        </is>
      </c>
      <c r="B1" s="3" t="inlineStr">
        <is>
          <t>结构重要性系数γ0</t>
        </is>
      </c>
      <c r="C1" s="3" t="inlineStr">
        <is>
          <t>弯矩设计值M</t>
        </is>
      </c>
      <c r="D1" s="3" t="inlineStr">
        <is>
          <t>是否地震作用组合</t>
        </is>
      </c>
      <c r="E1" s="3" t="inlineStr">
        <is>
          <t>截面类型</t>
        </is>
      </c>
      <c r="F1" s="3" t="inlineStr">
        <is>
          <t>b</t>
        </is>
      </c>
      <c r="G1" s="3" t="inlineStr">
        <is>
          <t>h</t>
        </is>
      </c>
      <c r="H1" s="3" t="inlineStr">
        <is>
          <t>bf</t>
        </is>
      </c>
      <c r="I1" s="3" t="inlineStr">
        <is>
          <t>hf</t>
        </is>
      </c>
      <c r="J1" s="3" t="inlineStr">
        <is>
          <t>混凝土强度等级C</t>
        </is>
      </c>
      <c r="K1" s="3" t="inlineStr">
        <is>
          <t>受拉钢筋强度等级</t>
        </is>
      </c>
      <c r="L1" s="3" t="inlineStr">
        <is>
          <t>受压钢筋强度等级</t>
        </is>
      </c>
      <c r="M1" s="3" t="inlineStr">
        <is>
          <t>受拉钢筋面积As</t>
        </is>
      </c>
      <c r="N1" s="3" t="inlineStr">
        <is>
          <t>受拉钢筋as</t>
        </is>
      </c>
      <c r="O1" s="3" t="inlineStr">
        <is>
          <t>受压钢筋面积As</t>
        </is>
      </c>
      <c r="P1" s="3" t="inlineStr">
        <is>
          <t>受压钢筋as</t>
        </is>
      </c>
      <c r="Q1" s="3" t="inlineStr">
        <is>
          <t>受压区高度x</t>
        </is>
      </c>
      <c r="R1" s="3" t="inlineStr">
        <is>
          <t>抗弯承载力Mu</t>
        </is>
      </c>
      <c r="S1" s="3" t="inlineStr">
        <is>
          <t>抗弯承载力MuE</t>
        </is>
      </c>
      <c r="T1" s="3" t="inlineStr">
        <is>
          <t>抗力效应比R/S</t>
        </is>
      </c>
    </row>
    <row customFormat="1" r="2" s="2">
      <c r="A2" s="4" t="n"/>
      <c r="B2" s="10" t="n">
        <v>1</v>
      </c>
      <c r="C2" s="10" t="n">
        <v>250</v>
      </c>
      <c r="D2" s="2" t="n">
        <v>0</v>
      </c>
      <c r="E2" s="2" t="inlineStr">
        <is>
          <t>矩形</t>
        </is>
      </c>
      <c r="F2" s="11" t="n">
        <v>300</v>
      </c>
      <c r="G2" s="11" t="n">
        <v>600</v>
      </c>
      <c r="H2" s="11" t="n"/>
      <c r="I2" s="11" t="n"/>
      <c r="J2" s="12" t="n">
        <v>30</v>
      </c>
      <c r="K2" s="2" t="inlineStr">
        <is>
          <t>HRB400</t>
        </is>
      </c>
      <c r="L2" s="2" t="inlineStr">
        <is>
          <t>HRB400</t>
        </is>
      </c>
      <c r="M2" s="12" t="n">
        <v>1500</v>
      </c>
      <c r="N2" s="12" t="n">
        <v>42.5</v>
      </c>
      <c r="O2" s="12" t="n">
        <v>0</v>
      </c>
      <c r="P2" s="12" t="n">
        <v>42.5</v>
      </c>
      <c r="Q2" s="13" t="inlineStr"/>
      <c r="R2" s="13" t="inlineStr"/>
      <c r="S2" s="13" t="inlineStr"/>
      <c r="T2" s="14" t="inlineStr"/>
    </row>
    <row customFormat="1" r="3" s="2">
      <c r="A3" s="4" t="n"/>
      <c r="B3" s="10" t="n">
        <v>1</v>
      </c>
      <c r="C3" s="10" t="n">
        <v>250</v>
      </c>
      <c r="D3" s="2" t="n">
        <v>0</v>
      </c>
      <c r="E3" s="2" t="inlineStr">
        <is>
          <t>矩形</t>
        </is>
      </c>
      <c r="F3" s="11" t="n">
        <v>300</v>
      </c>
      <c r="G3" s="11" t="n">
        <v>600</v>
      </c>
      <c r="H3" s="11" t="n"/>
      <c r="I3" s="11" t="n"/>
      <c r="J3" s="12" t="n">
        <v>30</v>
      </c>
      <c r="K3" s="2" t="inlineStr">
        <is>
          <t>HRB400</t>
        </is>
      </c>
      <c r="L3" s="2" t="inlineStr">
        <is>
          <t>HRB400</t>
        </is>
      </c>
      <c r="M3" s="12" t="n">
        <v>2500</v>
      </c>
      <c r="N3" s="12" t="n">
        <v>42.5</v>
      </c>
      <c r="O3" s="12" t="n">
        <v>500</v>
      </c>
      <c r="P3" s="12" t="n">
        <v>42.5</v>
      </c>
      <c r="Q3" s="13" t="inlineStr"/>
      <c r="R3" s="13" t="inlineStr"/>
      <c r="S3" s="13" t="inlineStr"/>
      <c r="T3" s="14" t="inlineStr"/>
    </row>
    <row customFormat="1" r="4" s="2">
      <c r="B4" s="10" t="n">
        <v>1</v>
      </c>
      <c r="C4" s="10" t="n">
        <v>250</v>
      </c>
      <c r="D4" s="2" t="n">
        <v>1</v>
      </c>
      <c r="E4" s="2" t="inlineStr">
        <is>
          <t>矩形</t>
        </is>
      </c>
      <c r="F4" s="11" t="n">
        <v>300</v>
      </c>
      <c r="G4" s="11" t="n">
        <v>600</v>
      </c>
      <c r="H4" s="11" t="n"/>
      <c r="I4" s="11" t="n"/>
      <c r="J4" s="12" t="n">
        <v>30</v>
      </c>
      <c r="K4" s="2" t="inlineStr">
        <is>
          <t>HRB400</t>
        </is>
      </c>
      <c r="L4" s="2" t="inlineStr">
        <is>
          <t>HRB400</t>
        </is>
      </c>
      <c r="M4" s="12" t="n">
        <v>5000</v>
      </c>
      <c r="N4" s="12" t="n">
        <v>42.5</v>
      </c>
      <c r="O4" s="12" t="n">
        <v>500</v>
      </c>
      <c r="P4" s="12" t="n">
        <v>42.5</v>
      </c>
      <c r="Q4" s="13" t="inlineStr"/>
      <c r="R4" s="13" t="inlineStr"/>
      <c r="S4" s="13" t="inlineStr"/>
      <c r="T4" s="14" t="inlineStr"/>
    </row>
    <row customFormat="1" r="5" s="2">
      <c r="B5" s="10" t="n">
        <v>1</v>
      </c>
      <c r="C5" s="10" t="n">
        <v>250</v>
      </c>
      <c r="D5" s="2" t="n">
        <v>1</v>
      </c>
      <c r="E5" s="2" t="inlineStr">
        <is>
          <t>矩形</t>
        </is>
      </c>
      <c r="F5" s="11" t="n">
        <v>300</v>
      </c>
      <c r="G5" s="11" t="n">
        <v>600</v>
      </c>
      <c r="H5" s="11" t="n"/>
      <c r="I5" s="11" t="n"/>
      <c r="J5" s="12" t="n">
        <v>30</v>
      </c>
      <c r="K5" s="2" t="inlineStr">
        <is>
          <t>HRB400</t>
        </is>
      </c>
      <c r="L5" s="2" t="inlineStr">
        <is>
          <t>HRB400</t>
        </is>
      </c>
      <c r="M5" s="12" t="n">
        <v>9000</v>
      </c>
      <c r="N5" s="12" t="n">
        <v>42.5</v>
      </c>
      <c r="O5" s="12" t="n">
        <v>500</v>
      </c>
      <c r="P5" s="12" t="n">
        <v>42.5</v>
      </c>
      <c r="Q5" s="13" t="inlineStr"/>
      <c r="R5" s="13" t="inlineStr"/>
      <c r="S5" s="13" t="inlineStr"/>
      <c r="T5" s="14" t="inlineStr"/>
    </row>
    <row customFormat="1" r="6" s="2">
      <c r="B6" s="10" t="n">
        <v>1</v>
      </c>
      <c r="C6" s="10" t="n">
        <v>350</v>
      </c>
      <c r="D6" s="2" t="n">
        <v>0</v>
      </c>
      <c r="E6" s="2" t="inlineStr">
        <is>
          <t>T形</t>
        </is>
      </c>
      <c r="F6" s="11" t="n">
        <v>300</v>
      </c>
      <c r="G6" s="11" t="n">
        <v>600</v>
      </c>
      <c r="H6" s="11" t="n">
        <v>1200</v>
      </c>
      <c r="I6" s="11" t="n">
        <v>100</v>
      </c>
      <c r="J6" s="12" t="n">
        <v>30</v>
      </c>
      <c r="K6" s="2" t="inlineStr">
        <is>
          <t>HRB400</t>
        </is>
      </c>
      <c r="L6" s="2" t="inlineStr">
        <is>
          <t>HRB400</t>
        </is>
      </c>
      <c r="M6" s="12" t="n">
        <v>1500</v>
      </c>
      <c r="N6" s="12" t="n">
        <v>42.5</v>
      </c>
      <c r="O6" s="12" t="n">
        <v>0</v>
      </c>
      <c r="P6" s="12" t="n">
        <v>42.5</v>
      </c>
      <c r="Q6" s="13" t="inlineStr"/>
      <c r="R6" s="13" t="inlineStr"/>
      <c r="S6" s="13" t="inlineStr"/>
      <c r="T6" s="14" t="inlineStr"/>
    </row>
    <row customFormat="1" r="7" s="2">
      <c r="B7" s="10" t="n">
        <v>1</v>
      </c>
      <c r="C7" s="10" t="n">
        <v>350</v>
      </c>
      <c r="D7" s="2" t="n">
        <v>0</v>
      </c>
      <c r="E7" s="2" t="inlineStr">
        <is>
          <t>T形</t>
        </is>
      </c>
      <c r="F7" s="11" t="n">
        <v>300</v>
      </c>
      <c r="G7" s="11" t="n">
        <v>600</v>
      </c>
      <c r="H7" s="11" t="n">
        <v>1200</v>
      </c>
      <c r="I7" s="11" t="n">
        <v>100</v>
      </c>
      <c r="J7" s="12" t="n">
        <v>30</v>
      </c>
      <c r="K7" s="2" t="inlineStr">
        <is>
          <t>HRB400</t>
        </is>
      </c>
      <c r="L7" s="2" t="inlineStr">
        <is>
          <t>HRB400</t>
        </is>
      </c>
      <c r="M7" s="12" t="n">
        <v>2500</v>
      </c>
      <c r="N7" s="12" t="n">
        <v>42.5</v>
      </c>
      <c r="O7" s="12" t="n">
        <v>500</v>
      </c>
      <c r="P7" s="12" t="n">
        <v>42.5</v>
      </c>
      <c r="Q7" s="13" t="inlineStr"/>
      <c r="R7" s="13" t="inlineStr"/>
      <c r="S7" s="13" t="inlineStr"/>
      <c r="T7" s="14" t="inlineStr"/>
    </row>
    <row customFormat="1" r="8" s="2">
      <c r="B8" s="10" t="n">
        <v>1</v>
      </c>
      <c r="C8" s="10" t="n">
        <v>350</v>
      </c>
      <c r="D8" s="2" t="n">
        <v>1</v>
      </c>
      <c r="E8" s="2" t="inlineStr">
        <is>
          <t>T形</t>
        </is>
      </c>
      <c r="F8" s="11" t="n">
        <v>300</v>
      </c>
      <c r="G8" s="11" t="n">
        <v>600</v>
      </c>
      <c r="H8" s="11" t="n">
        <v>1200</v>
      </c>
      <c r="I8" s="11" t="n">
        <v>100</v>
      </c>
      <c r="J8" s="12" t="n">
        <v>30</v>
      </c>
      <c r="K8" s="2" t="inlineStr">
        <is>
          <t>HRB400</t>
        </is>
      </c>
      <c r="L8" s="2" t="inlineStr">
        <is>
          <t>HRB400</t>
        </is>
      </c>
      <c r="M8" s="12" t="n">
        <v>5000</v>
      </c>
      <c r="N8" s="12" t="n">
        <v>42.5</v>
      </c>
      <c r="O8" s="12" t="n">
        <v>500</v>
      </c>
      <c r="P8" s="12" t="n">
        <v>42.5</v>
      </c>
      <c r="Q8" s="13" t="inlineStr"/>
      <c r="R8" s="13" t="inlineStr"/>
      <c r="S8" s="13" t="inlineStr"/>
      <c r="T8" s="14" t="inlineStr"/>
    </row>
    <row customFormat="1" r="9" s="2">
      <c r="B9" s="10" t="n">
        <v>1</v>
      </c>
      <c r="C9" s="10" t="n">
        <v>350</v>
      </c>
      <c r="D9" s="2" t="n">
        <v>1</v>
      </c>
      <c r="E9" s="2" t="inlineStr">
        <is>
          <t>T形</t>
        </is>
      </c>
      <c r="F9" s="11" t="n">
        <v>300</v>
      </c>
      <c r="G9" s="11" t="n">
        <v>600</v>
      </c>
      <c r="H9" s="11" t="n">
        <v>1200</v>
      </c>
      <c r="I9" s="11" t="n">
        <v>100</v>
      </c>
      <c r="J9" s="12" t="n">
        <v>30</v>
      </c>
      <c r="K9" s="2" t="inlineStr">
        <is>
          <t>HRB400</t>
        </is>
      </c>
      <c r="L9" s="2" t="inlineStr">
        <is>
          <t>HRB400</t>
        </is>
      </c>
      <c r="M9" s="12" t="n">
        <v>9000</v>
      </c>
      <c r="N9" s="12" t="n">
        <v>42.5</v>
      </c>
      <c r="O9" s="12" t="n">
        <v>500</v>
      </c>
      <c r="P9" s="12" t="n">
        <v>42.5</v>
      </c>
      <c r="Q9" s="13" t="inlineStr"/>
      <c r="R9" s="13" t="inlineStr"/>
      <c r="S9" s="13" t="inlineStr"/>
      <c r="T9" s="14" t="inlineStr"/>
    </row>
  </sheetData>
  <dataValidations count="6">
    <dataValidation allowBlank="1" showDropDown="0" showErrorMessage="1" showInputMessage="1" sqref="B1"/>
    <dataValidation allowBlank="1" showDropDown="0" showErrorMessage="1" showInputMessage="1" sqref="B2:B9" type="list">
      <formula1>"1.1,1.0,0.9"</formula1>
    </dataValidation>
    <dataValidation allowBlank="1" operator="greaterThanOrEqual" showDropDown="0" showErrorMessage="1" showInputMessage="1" sqref="C2:C9 F2:J9 M2:P9" type="decimal">
      <formula1>0</formula1>
    </dataValidation>
    <dataValidation allowBlank="1" showDropDown="0" showErrorMessage="1" showInputMessage="1" sqref="D2:D9" type="list">
      <formula1>"1,0"</formula1>
    </dataValidation>
    <dataValidation allowBlank="1" showDropDown="0" showErrorMessage="1" showInputMessage="1" sqref="E2:E9" type="list">
      <formula1>"矩形,T形"</formula1>
    </dataValidation>
    <dataValidation allowBlank="1" showDropDown="0" showErrorMessage="1" showInputMessage="1" sqref="K2:L9" type="list">
      <formula1>"HPB300,HRB335,HRB400,HRB500"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波波</dc:creator>
  <dcterms:created xsi:type="dcterms:W3CDTF">2026-01-02T07:45:00Z</dcterms:created>
  <dcterms:modified xsi:type="dcterms:W3CDTF">2026-01-04T08:41:27Z</dcterms:modified>
  <cp:lastModifiedBy>高祎波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54D19935DE014EA3BB9A3C33340F2A3C_11</vt:lpwstr>
  </property>
  <property fmtid="{D5CDD505-2E9C-101B-9397-08002B2CF9AE}" name="KSOProductBuildVer" pid="3">
    <vt:lpwstr>2052-12.1.0.24034</vt:lpwstr>
  </property>
  <property fmtid="{D5CDD505-2E9C-101B-9397-08002B2CF9AE}" name="CalculationRule" pid="4">
    <vt:i4>1</vt:i4>
  </property>
</Properties>
</file>