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Relationship Id="rId4" Target="docProps/custom.xml" Type="http://schemas.openxmlformats.org/officeDocument/2006/relationships/custom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 autoFilterDateGrouping="1" firstSheet="0" minimized="0" showHorizontalScroll="1" showSheetTabs="1" showVerticalScroll="1" tabRatio="600" visibility="visible" windowHeight="9135" windowWidth="22185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5">
    <numFmt formatCode="0.0_ " numFmtId="164"/>
    <numFmt formatCode="0_);[Red]\(0\)" numFmtId="165"/>
    <numFmt formatCode="0.0_);[Red]\(0.0\)" numFmtId="166"/>
    <numFmt formatCode="0.00_);[Red]\(0.00\)" numFmtId="167"/>
    <numFmt formatCode="0.0" numFmtId="168"/>
  </numFmts>
  <fonts count="21">
    <font>
      <name val="宋体"/>
      <charset val="134"/>
      <color theme="1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applyAlignment="1" borderId="0" fillId="0" fontId="0" numFmtId="0">
      <alignment vertical="center"/>
    </xf>
    <xf applyAlignment="1" borderId="0" fillId="0" fontId="0" numFmtId="43">
      <alignment vertical="center"/>
    </xf>
    <xf applyAlignment="1" borderId="0" fillId="0" fontId="0" numFmtId="44">
      <alignment vertical="center"/>
    </xf>
    <xf applyAlignment="1" borderId="0" fillId="0" fontId="0" numFmtId="9">
      <alignment vertical="center"/>
    </xf>
    <xf applyAlignment="1" borderId="0" fillId="0" fontId="0" numFmtId="41">
      <alignment vertical="center"/>
    </xf>
    <xf applyAlignment="1" borderId="0" fillId="0" fontId="0" numFmtId="42">
      <alignment vertical="center"/>
    </xf>
    <xf applyAlignment="1" borderId="0" fillId="0" fontId="2" numFmtId="0">
      <alignment vertical="center"/>
    </xf>
    <xf applyAlignment="1" borderId="0" fillId="0" fontId="3" numFmtId="0">
      <alignment vertical="center"/>
    </xf>
    <xf applyAlignment="1" borderId="1" fillId="2" fontId="0" numFmtId="0">
      <alignment vertical="center"/>
    </xf>
    <xf applyAlignment="1" borderId="0" fillId="0" fontId="4" numFmtId="0">
      <alignment vertical="center"/>
    </xf>
    <xf applyAlignment="1" borderId="0" fillId="0" fontId="5" numFmtId="0">
      <alignment vertical="center"/>
    </xf>
    <xf applyAlignment="1" borderId="0" fillId="0" fontId="6" numFmtId="0">
      <alignment vertical="center"/>
    </xf>
    <xf applyAlignment="1" borderId="2" fillId="0" fontId="7" numFmtId="0">
      <alignment vertical="center"/>
    </xf>
    <xf applyAlignment="1" borderId="2" fillId="0" fontId="8" numFmtId="0">
      <alignment vertical="center"/>
    </xf>
    <xf applyAlignment="1" borderId="3" fillId="0" fontId="9" numFmtId="0">
      <alignment vertical="center"/>
    </xf>
    <xf applyAlignment="1" borderId="0" fillId="0" fontId="9" numFmtId="0">
      <alignment vertical="center"/>
    </xf>
    <xf applyAlignment="1" borderId="4" fillId="3" fontId="10" numFmtId="0">
      <alignment vertical="center"/>
    </xf>
    <xf applyAlignment="1" borderId="5" fillId="4" fontId="11" numFmtId="0">
      <alignment vertical="center"/>
    </xf>
    <xf applyAlignment="1" borderId="4" fillId="4" fontId="12" numFmtId="0">
      <alignment vertical="center"/>
    </xf>
    <xf applyAlignment="1" borderId="6" fillId="5" fontId="13" numFmtId="0">
      <alignment vertical="center"/>
    </xf>
    <xf applyAlignment="1" borderId="7" fillId="0" fontId="14" numFmtId="0">
      <alignment vertical="center"/>
    </xf>
    <xf applyAlignment="1" borderId="8" fillId="0" fontId="15" numFmtId="0">
      <alignment vertical="center"/>
    </xf>
    <xf applyAlignment="1" borderId="0" fillId="6" fontId="16" numFmtId="0">
      <alignment vertical="center"/>
    </xf>
    <xf applyAlignment="1" borderId="0" fillId="7" fontId="17" numFmtId="0">
      <alignment vertical="center"/>
    </xf>
    <xf applyAlignment="1" borderId="0" fillId="8" fontId="18" numFmtId="0">
      <alignment vertical="center"/>
    </xf>
    <xf applyAlignment="1" borderId="0" fillId="9" fontId="19" numFmtId="0">
      <alignment vertical="center"/>
    </xf>
    <xf applyAlignment="1" borderId="0" fillId="10" fontId="20" numFmtId="0">
      <alignment vertical="center"/>
    </xf>
    <xf applyAlignment="1" borderId="0" fillId="11" fontId="20" numFmtId="0">
      <alignment vertical="center"/>
    </xf>
    <xf applyAlignment="1" borderId="0" fillId="12" fontId="19" numFmtId="0">
      <alignment vertical="center"/>
    </xf>
    <xf applyAlignment="1" borderId="0" fillId="13" fontId="19" numFmtId="0">
      <alignment vertical="center"/>
    </xf>
    <xf applyAlignment="1" borderId="0" fillId="14" fontId="20" numFmtId="0">
      <alignment vertical="center"/>
    </xf>
    <xf applyAlignment="1" borderId="0" fillId="15" fontId="20" numFmtId="0">
      <alignment vertical="center"/>
    </xf>
    <xf applyAlignment="1" borderId="0" fillId="16" fontId="19" numFmtId="0">
      <alignment vertical="center"/>
    </xf>
    <xf applyAlignment="1" borderId="0" fillId="17" fontId="19" numFmtId="0">
      <alignment vertical="center"/>
    </xf>
    <xf applyAlignment="1" borderId="0" fillId="18" fontId="20" numFmtId="0">
      <alignment vertical="center"/>
    </xf>
    <xf applyAlignment="1" borderId="0" fillId="19" fontId="20" numFmtId="0">
      <alignment vertical="center"/>
    </xf>
    <xf applyAlignment="1" borderId="0" fillId="20" fontId="19" numFmtId="0">
      <alignment vertical="center"/>
    </xf>
    <xf applyAlignment="1" borderId="0" fillId="21" fontId="19" numFmtId="0">
      <alignment vertical="center"/>
    </xf>
    <xf applyAlignment="1" borderId="0" fillId="22" fontId="20" numFmtId="0">
      <alignment vertical="center"/>
    </xf>
    <xf applyAlignment="1" borderId="0" fillId="23" fontId="20" numFmtId="0">
      <alignment vertical="center"/>
    </xf>
    <xf applyAlignment="1" borderId="0" fillId="24" fontId="19" numFmtId="0">
      <alignment vertical="center"/>
    </xf>
    <xf applyAlignment="1" borderId="0" fillId="25" fontId="19" numFmtId="0">
      <alignment vertical="center"/>
    </xf>
    <xf applyAlignment="1" borderId="0" fillId="26" fontId="20" numFmtId="0">
      <alignment vertical="center"/>
    </xf>
    <xf applyAlignment="1" borderId="0" fillId="27" fontId="20" numFmtId="0">
      <alignment vertical="center"/>
    </xf>
    <xf applyAlignment="1" borderId="0" fillId="28" fontId="19" numFmtId="0">
      <alignment vertical="center"/>
    </xf>
    <xf applyAlignment="1" borderId="0" fillId="29" fontId="19" numFmtId="0">
      <alignment vertical="center"/>
    </xf>
    <xf applyAlignment="1" borderId="0" fillId="30" fontId="20" numFmtId="0">
      <alignment vertical="center"/>
    </xf>
    <xf applyAlignment="1" borderId="0" fillId="31" fontId="20" numFmtId="0">
      <alignment vertical="center"/>
    </xf>
    <xf applyAlignment="1" borderId="0" fillId="32" fontId="19" numFmtId="0">
      <alignment vertical="center"/>
    </xf>
  </cellStyleXfs>
  <cellXfs count="15">
    <xf applyAlignment="1" borderId="0" fillId="0" fontId="0" numFmtId="0" pivotButton="0" quotePrefix="0" xfId="0">
      <alignment vertical="center"/>
    </xf>
    <xf applyAlignment="1" borderId="0" fillId="0" fontId="0" numFmtId="0" pivotButton="0" quotePrefix="0" xfId="0">
      <alignment horizontal="center" vertical="center" wrapText="1"/>
    </xf>
    <xf applyAlignment="1" borderId="0" fillId="0" fontId="0" numFmtId="0" pivotButton="0" quotePrefix="0" xfId="0">
      <alignment horizontal="center" vertical="center"/>
    </xf>
    <xf applyAlignment="1" borderId="0" fillId="0" fontId="1" numFmtId="0" pivotButton="0" quotePrefix="0" xfId="0">
      <alignment horizontal="center" vertical="center" wrapText="1"/>
    </xf>
    <xf applyAlignment="1" borderId="0" fillId="0" fontId="0" numFmtId="49" pivotButton="0" quotePrefix="0" xfId="0">
      <alignment horizontal="center" vertical="center"/>
    </xf>
    <xf applyAlignment="1" borderId="0" fillId="0" fontId="0" numFmtId="164" pivotButton="0" quotePrefix="0" xfId="0">
      <alignment horizontal="center" vertical="center"/>
    </xf>
    <xf applyAlignment="1" borderId="0" fillId="0" fontId="0" numFmtId="165" pivotButton="0" quotePrefix="0" xfId="0">
      <alignment horizontal="center" vertical="center"/>
    </xf>
    <xf applyAlignment="1" borderId="0" fillId="0" fontId="0" numFmtId="166" pivotButton="0" quotePrefix="0" xfId="0">
      <alignment horizontal="center" vertical="center"/>
    </xf>
    <xf applyAlignment="1" borderId="0" fillId="0" fontId="0" numFmtId="167" pivotButton="0" quotePrefix="0" xfId="0">
      <alignment horizontal="center" vertical="center"/>
    </xf>
    <xf borderId="0" fillId="0" fontId="0" numFmtId="0" pivotButton="0" quotePrefix="0" xfId="0"/>
    <xf applyAlignment="1" borderId="0" fillId="0" fontId="0" numFmtId="164" pivotButton="0" quotePrefix="0" xfId="0">
      <alignment horizontal="center" vertical="center"/>
    </xf>
    <xf applyAlignment="1" borderId="0" fillId="0" fontId="0" numFmtId="165" pivotButton="0" quotePrefix="0" xfId="0">
      <alignment horizontal="center" vertical="center"/>
    </xf>
    <xf applyAlignment="1" borderId="0" fillId="0" fontId="0" numFmtId="166" pivotButton="0" quotePrefix="0" xfId="0">
      <alignment horizontal="center" vertical="center"/>
    </xf>
    <xf applyAlignment="1" borderId="0" fillId="0" fontId="0" numFmtId="168" pivotButton="0" quotePrefix="0" xfId="0">
      <alignment horizontal="center" vertical="center"/>
    </xf>
    <xf applyAlignment="1" borderId="0" fillId="0" fontId="0" numFmtId="2" pivotButton="0" quotePrefix="0" xfId="0">
      <alignment horizontal="center" vertical="center"/>
    </xf>
  </cellXfs>
  <cellStyles count="49">
    <cellStyle builtinId="0" name="常规" xfId="0"/>
    <cellStyle builtinId="3" name="千位分隔" xfId="1"/>
    <cellStyle builtinId="4" name="货币" xfId="2"/>
    <cellStyle builtinId="5" name="百分比" xfId="3"/>
    <cellStyle builtinId="6" name="千位分隔[0]" xfId="4"/>
    <cellStyle builtinId="7" name="货币[0]" xfId="5"/>
    <cellStyle builtinId="8" name="超链接" xfId="6"/>
    <cellStyle builtinId="9" name="已访问的超链接" xfId="7"/>
    <cellStyle builtinId="10" name="注释" xfId="8"/>
    <cellStyle builtinId="11" name="警告文本" xfId="9"/>
    <cellStyle builtinId="15" name="标题" xfId="10"/>
    <cellStyle builtinId="53" name="解释性文本" xfId="11"/>
    <cellStyle builtinId="16" name="标题 1" xfId="12"/>
    <cellStyle builtinId="17" name="标题 2" xfId="13"/>
    <cellStyle builtinId="18" name="标题 3" xfId="14"/>
    <cellStyle builtinId="19" name="标题 4" xfId="15"/>
    <cellStyle builtinId="20" name="输入" xfId="16"/>
    <cellStyle builtinId="21" name="输出" xfId="17"/>
    <cellStyle builtinId="22" name="计算" xfId="18"/>
    <cellStyle builtinId="23" name="检查单元格" xfId="19"/>
    <cellStyle builtinId="24" name="链接单元格" xfId="20"/>
    <cellStyle builtinId="25" name="汇总" xfId="21"/>
    <cellStyle builtinId="26" name="好" xfId="22"/>
    <cellStyle builtinId="27" name="差" xfId="23"/>
    <cellStyle builtinId="28" name="适中" xfId="24"/>
    <cellStyle builtinId="29" name="强调文字颜色 1" xfId="25"/>
    <cellStyle builtinId="30" name="20% - 强调文字颜色 1" xfId="26"/>
    <cellStyle builtinId="31" name="40% - 强调文字颜色 1" xfId="27"/>
    <cellStyle builtinId="32" name="60% - 强调文字颜色 1" xfId="28"/>
    <cellStyle builtinId="33" name="强调文字颜色 2" xfId="29"/>
    <cellStyle builtinId="34" name="20% - 强调文字颜色 2" xfId="30"/>
    <cellStyle builtinId="35" name="40% - 强调文字颜色 2" xfId="31"/>
    <cellStyle builtinId="36" name="60% - 强调文字颜色 2" xfId="32"/>
    <cellStyle builtinId="37" name="强调文字颜色 3" xfId="33"/>
    <cellStyle builtinId="38" name="20% - 强调文字颜色 3" xfId="34"/>
    <cellStyle builtinId="39" name="40% - 强调文字颜色 3" xfId="35"/>
    <cellStyle builtinId="40" name="60% - 强调文字颜色 3" xfId="36"/>
    <cellStyle builtinId="41" name="强调文字颜色 4" xfId="37"/>
    <cellStyle builtinId="42" name="20% - 强调文字颜色 4" xfId="38"/>
    <cellStyle builtinId="43" name="40% - 强调文字颜色 4" xfId="39"/>
    <cellStyle builtinId="44" name="60% - 强调文字颜色 4" xfId="40"/>
    <cellStyle builtinId="45" name="强调文字颜色 5" xfId="41"/>
    <cellStyle builtinId="46" name="20% - 强调文字颜色 5" xfId="42"/>
    <cellStyle builtinId="47" name="40% - 强调文字颜色 5" xfId="43"/>
    <cellStyle builtinId="48" name="60% - 强调文字颜色 5" xfId="44"/>
    <cellStyle builtinId="49" name="强调文字颜色 6" xfId="45"/>
    <cellStyle builtinId="50" name="20% - 强调文字颜色 6" xfId="46"/>
    <cellStyle builtinId="51" name="40% - 强调文字颜色 6" xfId="47"/>
    <cellStyle builtinId="52" name="60% - 强调文字颜色 6" xfId="48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PivotStyle="PivotStylePreset2_Accent1" defaultTableStyle="TableStylePreset3_Accent1">
    <tableStyle count="7" name="TableStylePreset3_Accent1" pivot="0">
      <tableStyleElement dxfId="6" type="wholeTable"/>
      <tableStyleElement dxfId="5" type="headerRow"/>
      <tableStyleElement dxfId="4" type="totalRow"/>
      <tableStyleElement dxfId="3" type="firstColumn"/>
      <tableStyleElement dxfId="2" type="lastColumn"/>
      <tableStyleElement dxfId="1" type="firstRowStripe"/>
      <tableStyleElement dxfId="0" type="firstColumnStripe"/>
    </tableStyle>
    <tableStyle count="10" name="PivotStylePreset2_Accent1" table="0">
      <tableStyleElement dxfId="16" type="headerRow"/>
      <tableStyleElement dxfId="15" type="totalRow"/>
      <tableStyleElement dxfId="14" type="firstRowStripe"/>
      <tableStyleElement dxfId="13" type="firstColumnStripe"/>
      <tableStyleElement dxfId="12" type="firstSubtotalRow"/>
      <tableStyleElement dxfId="11" type="secondSubtotalRow"/>
      <tableStyleElement dxfId="10" type="firstRowSubheading"/>
      <tableStyleElement dxfId="9" type="secondRowSubheading"/>
      <tableStyleElement dxfId="8" type="pageFieldLabels"/>
      <tableStyleElement dxfId="7" type="pageFieldValues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9"/>
  <sheetViews>
    <sheetView tabSelected="1" topLeftCell="B1" workbookViewId="0">
      <selection activeCell="G15" sqref="G15"/>
    </sheetView>
  </sheetViews>
  <sheetFormatPr baseColWidth="8" customHeight="1" defaultColWidth="8.84166666666667" defaultRowHeight="13.5"/>
  <cols>
    <col customWidth="1" max="1" min="1" style="9" width="12.5"/>
    <col customWidth="1" max="2" min="2" style="9" width="10.7333333333333"/>
    <col customWidth="1" max="8" min="8" style="9" width="9.375"/>
    <col customWidth="1" max="13" min="13" style="9" width="9.375"/>
    <col customWidth="1" max="15" min="15" style="9" width="9.375"/>
  </cols>
  <sheetData>
    <row customFormat="1" customHeight="1" ht="51" r="1" s="1">
      <c r="A1" s="3" t="inlineStr">
        <is>
          <t>截面编号</t>
        </is>
      </c>
      <c r="B1" s="3" t="inlineStr">
        <is>
          <t>结构重要性系数γ0</t>
        </is>
      </c>
      <c r="C1" s="3" t="inlineStr">
        <is>
          <t>弯矩设计值M</t>
        </is>
      </c>
      <c r="D1" s="3" t="inlineStr">
        <is>
          <t>是否地震作用组合</t>
        </is>
      </c>
      <c r="E1" s="3" t="inlineStr">
        <is>
          <t>截面类型</t>
        </is>
      </c>
      <c r="F1" s="3" t="inlineStr">
        <is>
          <t>b</t>
        </is>
      </c>
      <c r="G1" s="3" t="inlineStr">
        <is>
          <t>h</t>
        </is>
      </c>
      <c r="H1" s="3" t="inlineStr">
        <is>
          <t>bf</t>
        </is>
      </c>
      <c r="I1" s="3" t="inlineStr">
        <is>
          <t>hf</t>
        </is>
      </c>
      <c r="J1" s="3" t="inlineStr">
        <is>
          <t>混凝土强度等级C</t>
        </is>
      </c>
      <c r="K1" s="3" t="inlineStr">
        <is>
          <t>受拉钢筋强度等级</t>
        </is>
      </c>
      <c r="L1" s="3" t="inlineStr">
        <is>
          <t>受压钢筋强度等级</t>
        </is>
      </c>
      <c r="M1" s="3" t="inlineStr">
        <is>
          <t>受拉钢筋面积As</t>
        </is>
      </c>
      <c r="N1" s="3" t="inlineStr">
        <is>
          <t>受拉钢筋as</t>
        </is>
      </c>
      <c r="O1" s="3" t="inlineStr">
        <is>
          <t>受压钢筋面积As</t>
        </is>
      </c>
      <c r="P1" s="3" t="inlineStr">
        <is>
          <t>受压钢筋as</t>
        </is>
      </c>
      <c r="Q1" s="3" t="inlineStr">
        <is>
          <t>受压区高度x</t>
        </is>
      </c>
      <c r="R1" s="3" t="inlineStr">
        <is>
          <t>抗弯承载力Mu</t>
        </is>
      </c>
      <c r="S1" s="3" t="inlineStr">
        <is>
          <t>抗弯承载力MuE</t>
        </is>
      </c>
      <c r="T1" s="3" t="inlineStr">
        <is>
          <t>抗力效应比R/S</t>
        </is>
      </c>
    </row>
    <row customFormat="1" r="2" s="2">
      <c r="A2" s="4" t="n"/>
      <c r="B2" s="10" t="n">
        <v>1</v>
      </c>
      <c r="C2" s="10" t="n">
        <v>250</v>
      </c>
      <c r="D2" s="2" t="n">
        <v>0</v>
      </c>
      <c r="E2" s="2" t="inlineStr">
        <is>
          <t>矩形</t>
        </is>
      </c>
      <c r="F2" s="11" t="n">
        <v>300</v>
      </c>
      <c r="G2" s="11" t="n">
        <v>600</v>
      </c>
      <c r="H2" s="11" t="n"/>
      <c r="I2" s="11" t="n"/>
      <c r="J2" s="12" t="n">
        <v>30</v>
      </c>
      <c r="K2" s="2" t="inlineStr">
        <is>
          <t>HRB400</t>
        </is>
      </c>
      <c r="L2" s="2" t="inlineStr">
        <is>
          <t>HRB400</t>
        </is>
      </c>
      <c r="M2" s="12" t="n">
        <v>1500</v>
      </c>
      <c r="N2" s="12" t="n">
        <v>42.5</v>
      </c>
      <c r="O2" s="12" t="n">
        <v>0</v>
      </c>
      <c r="P2" s="12" t="n">
        <v>42.5</v>
      </c>
      <c r="Q2" s="13" t="n">
        <v>125.9</v>
      </c>
      <c r="R2" s="13" t="n">
        <v>267.1</v>
      </c>
      <c r="S2" s="13" t="n">
        <v>356.13</v>
      </c>
      <c r="T2" s="14" t="n">
        <v>1.07</v>
      </c>
    </row>
    <row customFormat="1" r="3" s="2">
      <c r="A3" s="4" t="n"/>
      <c r="B3" s="10" t="n">
        <v>1</v>
      </c>
      <c r="C3" s="10" t="n">
        <v>250</v>
      </c>
      <c r="D3" s="2" t="n">
        <v>0</v>
      </c>
      <c r="E3" s="2" t="inlineStr">
        <is>
          <t>矩形</t>
        </is>
      </c>
      <c r="F3" s="11" t="n">
        <v>300</v>
      </c>
      <c r="G3" s="11" t="n">
        <v>600</v>
      </c>
      <c r="H3" s="11" t="n"/>
      <c r="I3" s="11" t="n"/>
      <c r="J3" s="12" t="n">
        <v>30</v>
      </c>
      <c r="K3" s="2" t="inlineStr">
        <is>
          <t>HRB400</t>
        </is>
      </c>
      <c r="L3" s="2" t="inlineStr">
        <is>
          <t>HRB400</t>
        </is>
      </c>
      <c r="M3" s="12" t="n">
        <v>2500</v>
      </c>
      <c r="N3" s="12" t="n">
        <v>42.5</v>
      </c>
      <c r="O3" s="12" t="n">
        <v>500</v>
      </c>
      <c r="P3" s="12" t="n">
        <v>42.5</v>
      </c>
      <c r="Q3" s="13" t="n">
        <v>167.8</v>
      </c>
      <c r="R3" s="13" t="n">
        <v>433.7</v>
      </c>
      <c r="S3" s="13" t="n">
        <v>578.27</v>
      </c>
      <c r="T3" s="14" t="n">
        <v>1.73</v>
      </c>
    </row>
    <row customFormat="1" r="4" s="2">
      <c r="B4" s="10" t="n">
        <v>1</v>
      </c>
      <c r="C4" s="10" t="n">
        <v>250</v>
      </c>
      <c r="D4" s="2" t="n">
        <v>1</v>
      </c>
      <c r="E4" s="2" t="inlineStr">
        <is>
          <t>矩形</t>
        </is>
      </c>
      <c r="F4" s="11" t="n">
        <v>300</v>
      </c>
      <c r="G4" s="11" t="n">
        <v>600</v>
      </c>
      <c r="H4" s="11" t="n"/>
      <c r="I4" s="11" t="n"/>
      <c r="J4" s="12" t="n">
        <v>30</v>
      </c>
      <c r="K4" s="2" t="inlineStr">
        <is>
          <t>HRB400</t>
        </is>
      </c>
      <c r="L4" s="2" t="inlineStr">
        <is>
          <t>HRB400</t>
        </is>
      </c>
      <c r="M4" s="12" t="n">
        <v>5000</v>
      </c>
      <c r="N4" s="12" t="n">
        <v>42.5</v>
      </c>
      <c r="O4" s="12" t="n">
        <v>500</v>
      </c>
      <c r="P4" s="12" t="n">
        <v>42.5</v>
      </c>
      <c r="Q4" s="13" t="n">
        <v>306.9</v>
      </c>
      <c r="R4" s="13" t="n">
        <v>624.6</v>
      </c>
      <c r="S4" s="13" t="n">
        <v>832.8</v>
      </c>
      <c r="T4" s="14" t="n">
        <v>3.33</v>
      </c>
    </row>
    <row customFormat="1" r="5" s="2">
      <c r="B5" s="10" t="n">
        <v>1</v>
      </c>
      <c r="C5" s="10" t="n">
        <v>250</v>
      </c>
      <c r="D5" s="2" t="n">
        <v>1</v>
      </c>
      <c r="E5" s="2" t="inlineStr">
        <is>
          <t>矩形</t>
        </is>
      </c>
      <c r="F5" s="11" t="n">
        <v>300</v>
      </c>
      <c r="G5" s="11" t="n">
        <v>600</v>
      </c>
      <c r="H5" s="11" t="n"/>
      <c r="I5" s="11" t="n"/>
      <c r="J5" s="12" t="n">
        <v>30</v>
      </c>
      <c r="K5" s="2" t="inlineStr">
        <is>
          <t>HRB400</t>
        </is>
      </c>
      <c r="L5" s="2" t="inlineStr">
        <is>
          <t>HRB400</t>
        </is>
      </c>
      <c r="M5" s="12" t="n">
        <v>9000</v>
      </c>
      <c r="N5" s="12" t="n">
        <v>42.5</v>
      </c>
      <c r="O5" s="12" t="n">
        <v>500</v>
      </c>
      <c r="P5" s="12" t="n">
        <v>42.5</v>
      </c>
      <c r="Q5" s="13" t="n">
        <v>348</v>
      </c>
      <c r="R5" s="13" t="n">
        <v>665.2</v>
      </c>
      <c r="S5" s="13" t="n">
        <v>886.9299999999999</v>
      </c>
      <c r="T5" s="14" t="n">
        <v>3.55</v>
      </c>
    </row>
    <row customFormat="1" r="6" s="2">
      <c r="B6" s="10" t="n">
        <v>1</v>
      </c>
      <c r="C6" s="10" t="n">
        <v>350</v>
      </c>
      <c r="D6" s="2" t="n">
        <v>0</v>
      </c>
      <c r="E6" s="2" t="inlineStr">
        <is>
          <t>T形</t>
        </is>
      </c>
      <c r="F6" s="11" t="n">
        <v>300</v>
      </c>
      <c r="G6" s="11" t="n">
        <v>600</v>
      </c>
      <c r="H6" s="11" t="n">
        <v>1200</v>
      </c>
      <c r="I6" s="11" t="n">
        <v>100</v>
      </c>
      <c r="J6" s="12" t="n">
        <v>30</v>
      </c>
      <c r="K6" s="2" t="inlineStr">
        <is>
          <t>HRB400</t>
        </is>
      </c>
      <c r="L6" s="2" t="inlineStr">
        <is>
          <t>HRB400</t>
        </is>
      </c>
      <c r="M6" s="12" t="n">
        <v>1500</v>
      </c>
      <c r="N6" s="12" t="n">
        <v>42.5</v>
      </c>
      <c r="O6" s="12" t="n">
        <v>0</v>
      </c>
      <c r="P6" s="12" t="n">
        <v>42.5</v>
      </c>
      <c r="Q6" s="13" t="n">
        <v>31.5</v>
      </c>
      <c r="R6" s="13" t="n">
        <v>292.6</v>
      </c>
      <c r="S6" s="13" t="n">
        <v>390.13</v>
      </c>
      <c r="T6" s="14" t="n">
        <v>0.84</v>
      </c>
    </row>
    <row customFormat="1" r="7" s="2">
      <c r="B7" s="10" t="n">
        <v>1</v>
      </c>
      <c r="C7" s="10" t="n">
        <v>350</v>
      </c>
      <c r="D7" s="2" t="n">
        <v>0</v>
      </c>
      <c r="E7" s="2" t="inlineStr">
        <is>
          <t>T形</t>
        </is>
      </c>
      <c r="F7" s="11" t="n">
        <v>300</v>
      </c>
      <c r="G7" s="11" t="n">
        <v>600</v>
      </c>
      <c r="H7" s="11" t="n">
        <v>1200</v>
      </c>
      <c r="I7" s="11" t="n">
        <v>100</v>
      </c>
      <c r="J7" s="12" t="n">
        <v>30</v>
      </c>
      <c r="K7" s="2" t="inlineStr">
        <is>
          <t>HRB400</t>
        </is>
      </c>
      <c r="L7" s="2" t="inlineStr">
        <is>
          <t>HRB400</t>
        </is>
      </c>
      <c r="M7" s="12" t="n">
        <v>2500</v>
      </c>
      <c r="N7" s="12" t="n">
        <v>42.5</v>
      </c>
      <c r="O7" s="12" t="n">
        <v>500</v>
      </c>
      <c r="P7" s="12" t="n">
        <v>42.5</v>
      </c>
      <c r="Q7" s="13" t="n">
        <v>52.4</v>
      </c>
      <c r="R7" s="13" t="n">
        <v>478.1</v>
      </c>
      <c r="S7" s="13" t="n">
        <v>637.47</v>
      </c>
      <c r="T7" s="14" t="n">
        <v>1.37</v>
      </c>
    </row>
    <row customFormat="1" r="8" s="2">
      <c r="B8" s="10" t="n">
        <v>1</v>
      </c>
      <c r="C8" s="10" t="n">
        <v>350</v>
      </c>
      <c r="D8" s="2" t="n">
        <v>1</v>
      </c>
      <c r="E8" s="2" t="inlineStr">
        <is>
          <t>T形</t>
        </is>
      </c>
      <c r="F8" s="11" t="n">
        <v>300</v>
      </c>
      <c r="G8" s="11" t="n">
        <v>600</v>
      </c>
      <c r="H8" s="11" t="n">
        <v>1200</v>
      </c>
      <c r="I8" s="11" t="n">
        <v>100</v>
      </c>
      <c r="J8" s="12" t="n">
        <v>30</v>
      </c>
      <c r="K8" s="2" t="inlineStr">
        <is>
          <t>HRB400</t>
        </is>
      </c>
      <c r="L8" s="2" t="inlineStr">
        <is>
          <t>HRB400</t>
        </is>
      </c>
      <c r="M8" s="12" t="n">
        <v>5000</v>
      </c>
      <c r="N8" s="12" t="n">
        <v>42.5</v>
      </c>
      <c r="O8" s="12" t="n">
        <v>500</v>
      </c>
      <c r="P8" s="12" t="n">
        <v>42.5</v>
      </c>
      <c r="Q8" s="13" t="n">
        <v>77.62</v>
      </c>
      <c r="R8" s="13" t="n">
        <v>918.58</v>
      </c>
      <c r="S8" s="13" t="n">
        <v>1224.77</v>
      </c>
      <c r="T8" s="14" t="n">
        <v>3.5</v>
      </c>
    </row>
    <row customFormat="1" r="9" s="2">
      <c r="B9" s="10" t="n">
        <v>1</v>
      </c>
      <c r="C9" s="10" t="n">
        <v>350</v>
      </c>
      <c r="D9" s="2" t="n">
        <v>1</v>
      </c>
      <c r="E9" s="2" t="inlineStr">
        <is>
          <t>T形</t>
        </is>
      </c>
      <c r="F9" s="11" t="n">
        <v>300</v>
      </c>
      <c r="G9" s="11" t="n">
        <v>600</v>
      </c>
      <c r="H9" s="11" t="n">
        <v>1200</v>
      </c>
      <c r="I9" s="11" t="n">
        <v>100</v>
      </c>
      <c r="J9" s="12" t="n">
        <v>30</v>
      </c>
      <c r="K9" s="2" t="inlineStr">
        <is>
          <t>HRB400</t>
        </is>
      </c>
      <c r="L9" s="2" t="inlineStr">
        <is>
          <t>HRB400</t>
        </is>
      </c>
      <c r="M9" s="12" t="n">
        <v>9000</v>
      </c>
      <c r="N9" s="12" t="n">
        <v>42.5</v>
      </c>
      <c r="O9" s="12" t="n">
        <v>500</v>
      </c>
      <c r="P9" s="12" t="n">
        <v>42.5</v>
      </c>
      <c r="Q9" s="13" t="n">
        <v>304.1</v>
      </c>
      <c r="R9" s="13" t="n">
        <v>1274.8</v>
      </c>
      <c r="S9" s="13" t="n">
        <v>1699.73</v>
      </c>
      <c r="T9" s="14" t="n">
        <v>4.86</v>
      </c>
    </row>
  </sheetData>
  <dataValidations count="6">
    <dataValidation allowBlank="1" showDropDown="0" showErrorMessage="1" showInputMessage="1" sqref="B1"/>
    <dataValidation allowBlank="1" showDropDown="0" showErrorMessage="1" showInputMessage="1" sqref="B2:B9" type="list">
      <formula1>"1.1,1.0,0.9"</formula1>
    </dataValidation>
    <dataValidation allowBlank="1" operator="greaterThanOrEqual" showDropDown="0" showErrorMessage="1" showInputMessage="1" sqref="C2:C9 F2:J9 M2:P9" type="decimal">
      <formula1>0</formula1>
    </dataValidation>
    <dataValidation allowBlank="1" showDropDown="0" showErrorMessage="1" showInputMessage="1" sqref="D2:D9" type="list">
      <formula1>"1,0"</formula1>
    </dataValidation>
    <dataValidation allowBlank="1" showDropDown="0" showErrorMessage="1" showInputMessage="1" sqref="E2:E9" type="list">
      <formula1>"矩形,T形"</formula1>
    </dataValidation>
    <dataValidation allowBlank="1" showDropDown="0" showErrorMessage="1" showInputMessage="1" sqref="K2:L9" type="list">
      <formula1>"HPB300,HRB335,HRB400,HRB500"</formula1>
    </dataValidation>
  </dataValidation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波波</dc:creator>
  <dcterms:created xsi:type="dcterms:W3CDTF">2026-01-02T07:45:00Z</dcterms:created>
  <dcterms:modified xsi:type="dcterms:W3CDTF">2026-01-04T02:29:51Z</dcterms:modified>
  <cp:lastModifiedBy>高祎波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fmtid="{D5CDD505-2E9C-101B-9397-08002B2CF9AE}" name="ICV" pid="2">
    <vt:lpwstr>54D19935DE014EA3BB9A3C33340F2A3C_11</vt:lpwstr>
  </property>
  <property fmtid="{D5CDD505-2E9C-101B-9397-08002B2CF9AE}" name="KSOProductBuildVer" pid="3">
    <vt:lpwstr>2052-12.1.0.24034</vt:lpwstr>
  </property>
  <property fmtid="{D5CDD505-2E9C-101B-9397-08002B2CF9AE}" name="CalculationRule" pid="4">
    <vt:i4>1</vt:i4>
  </property>
</Properties>
</file>